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Lists" sheetId="2" r:id="rId6"/>
    <sheet state="visible" name="Request"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Edit these lists to match Verlet's actual cost centres before circulating the template. Whatever is here becomes how you report spend by project later.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This total decides how many bids procurement must collect and, once real quotes come in, which manager has to approve. Approval routing uses the actual selected bid total, not this estimate - but a wildly low estimate still sends the request down the wrong path first.</t>
      </text>
    </comment>
  </commentList>
</comments>
</file>

<file path=xl/sharedStrings.xml><?xml version="1.0" encoding="utf-8"?>
<sst xmlns="http://schemas.openxmlformats.org/spreadsheetml/2006/main" count="95" uniqueCount="90">
  <si>
    <t>Verlet Procurement Request - how to fill this in</t>
  </si>
  <si>
    <t>Verlet - Procurement Request</t>
  </si>
  <si>
    <t>What this is</t>
  </si>
  <si>
    <t>Helper - do not edit</t>
  </si>
  <si>
    <t>- The standard way to request anything that has to be bought. One file per request.</t>
  </si>
  <si>
    <t>- A request can have one line or forty - fill one row per item on the Request tab.</t>
  </si>
  <si>
    <t>Fill in the blue cells. Do not send until the status box below reads READY TO SEND.</t>
  </si>
  <si>
    <t>- Fill it in, check the status box goes green, email the file to procurement.</t>
  </si>
  <si>
    <t>Sending it</t>
  </si>
  <si>
    <t>- Email the .xlsx to: procurement@verlet.co</t>
  </si>
  <si>
    <t>Project / cost centre</t>
  </si>
  <si>
    <t>- Name the file: PR_YourName_Project_YYYY-MM-DD.xlsx</t>
  </si>
  <si>
    <t>- Procurement replies with a REQ number. Until you have that number, your request does not exist in the system - if you haven't had a reply in two working days, chase it.</t>
  </si>
  <si>
    <t>The status box</t>
  </si>
  <si>
    <t>- Top of the Request tab. It reads NOT READY until everything needed is filled in.</t>
  </si>
  <si>
    <t>- Do not send the file while it says NOT READY. It will be sent back.</t>
  </si>
  <si>
    <t>- The Check column on each line tells you exactly what that row is missing.</t>
  </si>
  <si>
    <t>Unit</t>
  </si>
  <si>
    <t>Writing the specification</t>
  </si>
  <si>
    <t>Urgency</t>
  </si>
  <si>
    <t>Air freight restricted</t>
  </si>
  <si>
    <t>- This is the column that matters and the one people get wrong.</t>
  </si>
  <si>
    <t>- Write it so somebody who has never seen your assembly could order the right part without asking you a single question.</t>
  </si>
  <si>
    <t>AMR</t>
  </si>
  <si>
    <t>- "M3 screws, 200pcs" is not a specification. "M3 x 10 mm, socket head cap, stainless A2, DIN 912" is.</t>
  </si>
  <si>
    <t>pcs</t>
  </si>
  <si>
    <t>- Include anything that changes which part arrives: dimensions, tolerance, material, thread and pitch, voltage, current rating, connector type, finish, colour, handedness.</t>
  </si>
  <si>
    <t>Normal</t>
  </si>
  <si>
    <t>No</t>
  </si>
  <si>
    <t>- A link to a datasheet or product page settles more ambiguity than a paragraph does. Add one where you can.</t>
  </si>
  <si>
    <t>EGO</t>
  </si>
  <si>
    <t>m</t>
  </si>
  <si>
    <t>Blocking within 2 weeks</t>
  </si>
  <si>
    <t>- The Check column only measures whether you wrote enough characters. It cannot tell whether the spec is any good - a long vague spec will pass. The standard is the question above, not the character count.</t>
  </si>
  <si>
    <t>Yes</t>
  </si>
  <si>
    <t>Estimated price</t>
  </si>
  <si>
    <t>Facilities / workshop</t>
  </si>
  <si>
    <t>kg</t>
  </si>
  <si>
    <t>Blocking work right now</t>
  </si>
  <si>
    <t>- Your best guess per unit. Procurement replaces it with real quotes.</t>
  </si>
  <si>
    <t>Not sure - please check</t>
  </si>
  <si>
    <t>- It decides how many bids are needed and who has to approve, so do not leave it blank and do not lowball it.</t>
  </si>
  <si>
    <t>IT &amp; software</t>
  </si>
  <si>
    <t>set</t>
  </si>
  <si>
    <t>- If you have no idea, estimate high and say so in Notes.</t>
  </si>
  <si>
    <t>General overhead</t>
  </si>
  <si>
    <t>Air freight</t>
  </si>
  <si>
    <t>pair</t>
  </si>
  <si>
    <t>- Magnets, batteries, adhesives, threadlockers, aerosols, liquids, powders and anything pressurised are restricted.</t>
  </si>
  <si>
    <t>UMI</t>
  </si>
  <si>
    <t>- One undeclared restricted item can hold an entire consolidated shipment. If unsure, pick "Not sure" - that is a valid answer and procurement will check.</t>
  </si>
  <si>
    <t>roll</t>
  </si>
  <si>
    <t>Changing a request after you have sent it</t>
  </si>
  <si>
    <t>Gello</t>
  </si>
  <si>
    <t>box</t>
  </si>
  <si>
    <t>- Do not edit and resend this file. Procurement may already be quoting against it.</t>
  </si>
  <si>
    <t>litre</t>
  </si>
  <si>
    <t>- Use the Change Order form and quote your REQ number.</t>
  </si>
  <si>
    <t>sheet</t>
  </si>
  <si>
    <t>service</t>
  </si>
  <si>
    <t>Request title</t>
  </si>
  <si>
    <t>Short name for this request</t>
  </si>
  <si>
    <t>Your name</t>
  </si>
  <si>
    <t>Your email</t>
  </si>
  <si>
    <t>The address you will send this from</t>
  </si>
  <si>
    <t>If your Project is not in the dropdown, add it in the Lists tab</t>
  </si>
  <si>
    <t>Date submitted</t>
  </si>
  <si>
    <t>Needed by</t>
  </si>
  <si>
    <t>Why this is needed</t>
  </si>
  <si>
    <t>Two or three sentences. The approver reads this and often nothing else.</t>
  </si>
  <si>
    <t>STATUS</t>
  </si>
  <si>
    <t>Line items entered</t>
  </si>
  <si>
    <t>Lines needing attention</t>
  </si>
  <si>
    <t>Estimated total (USD)</t>
  </si>
  <si>
    <t>#</t>
  </si>
  <si>
    <t>Item name</t>
  </si>
  <si>
    <t>Qty</t>
  </si>
  <si>
    <t>Detailed specification</t>
  </si>
  <si>
    <t>Datasheet / product link</t>
  </si>
  <si>
    <t>Air freight restricted?</t>
  </si>
  <si>
    <t>Est. unit price (USD)</t>
  </si>
  <si>
    <t>Est. line total</t>
  </si>
  <si>
    <t>Suggested vendor</t>
  </si>
  <si>
    <t>Notes</t>
  </si>
  <si>
    <t>Check</t>
  </si>
  <si>
    <t>M3 x 10 mm socket head cap screw</t>
  </si>
  <si>
    <t>M3 x 10 mm, socket head cap, stainless A2-70, DIN 912, full thread, plain finish</t>
  </si>
  <si>
    <t>https://vendor.example/product/din912-m3x10-a2</t>
  </si>
  <si>
    <t>Kirgen (Guangdong)</t>
  </si>
  <si>
    <t>EXAMPLE ROW - delete this row before sending. The status box will not go green until you 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</si>
</sst>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
  </numFmts>
  <fonts count="12">
    <font>
      <sz val="11.0"/>
      <color theme="1"/>
      <name val="Calibri"/>
      <scheme val="minor"/>
    </font>
    <font>
      <b/>
      <sz val="14.0"/>
      <color theme="1"/>
      <name val="Arial"/>
    </font>
    <font>
      <b/>
      <sz val="11.0"/>
      <color theme="1"/>
      <name val="Arial"/>
    </font>
    <font>
      <b/>
      <sz val="9.0"/>
      <color rgb="FF999999"/>
      <name val="Arial"/>
    </font>
    <font>
      <sz val="10.0"/>
      <color theme="1"/>
      <name val="Arial"/>
    </font>
    <font>
      <b/>
      <sz val="10.0"/>
      <color theme="1"/>
      <name val="Arial"/>
    </font>
    <font>
      <color theme="1"/>
      <name val="Calibri"/>
      <scheme val="minor"/>
    </font>
    <font>
      <sz val="9.0"/>
      <color rgb="FF999999"/>
      <name val="Arial"/>
    </font>
    <font/>
    <font>
      <i/>
      <sz val="9.0"/>
      <color rgb="FF777777"/>
      <name val="Arial"/>
    </font>
    <font>
      <b/>
      <sz val="12.0"/>
      <color theme="1"/>
      <name val="Arial"/>
    </font>
    <font>
      <sz val="10.0"/>
      <color rgb="FF555555"/>
      <name val="Arial"/>
    </font>
  </fonts>
  <fills count="5">
    <fill>
      <patternFill patternType="none"/>
    </fill>
    <fill>
      <patternFill patternType="lightGray"/>
    </fill>
    <fill>
      <patternFill patternType="solid">
        <fgColor rgb="FFD9E8FB"/>
        <bgColor rgb="FFD9E8FB"/>
      </patternFill>
    </fill>
    <fill>
      <patternFill patternType="solid">
        <fgColor rgb="FFE0E0E0"/>
        <bgColor rgb="FFE0E0E0"/>
      </patternFill>
    </fill>
    <fill>
      <patternFill patternType="solid">
        <fgColor rgb="FFFFF6D5"/>
        <bgColor rgb="FFFFF6D5"/>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top" wrapText="1"/>
    </xf>
    <xf borderId="0" fillId="0" fontId="4" numFmtId="0" xfId="0" applyAlignment="1" applyFont="1">
      <alignment shrinkToFit="0" vertical="bottom" wrapText="0"/>
    </xf>
    <xf borderId="0" fillId="0" fontId="4" numFmtId="0" xfId="0" applyAlignment="1" applyFont="1">
      <alignment readingOrder="0" shrinkToFit="0" vertical="top" wrapText="1"/>
    </xf>
    <xf borderId="1" fillId="2" fontId="5" numFmtId="0" xfId="0" applyAlignment="1" applyBorder="1" applyFill="1" applyFont="1">
      <alignment horizontal="center" shrinkToFit="0" vertical="bottom" wrapText="1"/>
    </xf>
    <xf borderId="1" fillId="0" fontId="4" numFmtId="0" xfId="0" applyAlignment="1" applyBorder="1" applyFont="1">
      <alignment readingOrder="0" shrinkToFit="0" vertical="bottom" wrapText="0"/>
    </xf>
    <xf borderId="1" fillId="0" fontId="4" numFmtId="0" xfId="0" applyAlignment="1" applyBorder="1" applyFont="1">
      <alignment shrinkToFit="0" vertical="bottom" wrapText="0"/>
    </xf>
    <xf borderId="0" fillId="0" fontId="6" numFmtId="0" xfId="0" applyAlignment="1" applyFont="1">
      <alignment readingOrder="0"/>
    </xf>
    <xf borderId="0" fillId="0" fontId="7" numFmtId="0" xfId="0" applyAlignment="1" applyFont="1">
      <alignment shrinkToFit="0" vertical="bottom" wrapText="0"/>
    </xf>
    <xf borderId="0" fillId="0" fontId="5" numFmtId="0" xfId="0" applyAlignment="1" applyFont="1">
      <alignment shrinkToFit="0" vertical="center" wrapText="0"/>
    </xf>
    <xf borderId="2" fillId="2" fontId="4" numFmtId="0" xfId="0" applyAlignment="1" applyBorder="1" applyFill="1" applyFont="1">
      <alignment shrinkToFit="0" vertical="center" wrapText="1"/>
    </xf>
    <xf borderId="3" fillId="0" fontId="8" numFmtId="0" xfId="0" applyBorder="1" applyFont="1"/>
    <xf borderId="4" fillId="0" fontId="8" numFmtId="0" xfId="0" applyBorder="1" applyFont="1"/>
    <xf borderId="0" fillId="0" fontId="9" numFmtId="0" xfId="0" applyAlignment="1" applyFont="1">
      <alignment shrinkToFit="0" vertical="bottom" wrapText="0"/>
    </xf>
    <xf borderId="2" fillId="2" fontId="4" numFmtId="164" xfId="0" applyAlignment="1" applyBorder="1" applyFill="1" applyFont="1" applyNumberFormat="1">
      <alignment shrinkToFit="0" vertical="center" wrapText="1"/>
    </xf>
    <xf borderId="0" fillId="0" fontId="10" numFmtId="0" xfId="0" applyAlignment="1" applyFont="1">
      <alignment shrinkToFit="0" vertical="bottom" wrapText="0"/>
    </xf>
    <xf borderId="2" fillId="3" fontId="10" numFmtId="0" xfId="0" applyAlignment="1" applyBorder="1" applyFill="1" applyFont="1">
      <alignment shrinkToFit="0" vertical="center" wrapText="1"/>
    </xf>
    <xf borderId="0" fillId="0" fontId="5" numFmtId="0" xfId="0" applyAlignment="1" applyFont="1">
      <alignment shrinkToFit="0" vertical="bottom" wrapText="0"/>
    </xf>
    <xf borderId="1" fillId="3" fontId="2" numFmtId="0" xfId="0" applyAlignment="1" applyBorder="1" applyFill="1" applyFont="1">
      <alignment horizontal="center" shrinkToFit="0" vertical="bottom" wrapText="0"/>
    </xf>
    <xf borderId="1" fillId="3" fontId="2" numFmtId="165" xfId="0" applyAlignment="1" applyBorder="1" applyFill="1" applyFont="1" applyNumberFormat="1">
      <alignment horizontal="center" shrinkToFit="0" vertical="bottom" wrapText="0"/>
    </xf>
    <xf borderId="1" fillId="3" fontId="5"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1" fillId="4" fontId="11" numFmtId="0" xfId="0" applyAlignment="1" applyBorder="1" applyFill="1" applyFont="1">
      <alignment shrinkToFit="0" vertical="top" wrapText="1"/>
    </xf>
    <xf borderId="1" fillId="4" fontId="4" numFmtId="0" xfId="0" applyAlignment="1" applyBorder="1" applyFill="1" applyFont="1">
      <alignment shrinkToFit="0" vertical="top" wrapText="1"/>
    </xf>
    <xf borderId="1" fillId="4" fontId="4" numFmtId="165" xfId="0" applyAlignment="1" applyBorder="1" applyFill="1" applyFont="1" applyNumberFormat="1">
      <alignment shrinkToFit="0" vertical="top" wrapText="1"/>
    </xf>
    <xf borderId="1" fillId="4" fontId="11" numFmtId="165" xfId="0" applyAlignment="1" applyBorder="1" applyFill="1" applyFont="1" applyNumberFormat="1">
      <alignment shrinkToFit="0" vertical="top" wrapText="1"/>
    </xf>
    <xf borderId="1" fillId="0" fontId="11" numFmtId="0" xfId="0" applyAlignment="1" applyBorder="1" applyFont="1">
      <alignment shrinkToFit="0" vertical="top" wrapText="1"/>
    </xf>
    <xf borderId="1" fillId="0" fontId="4" numFmtId="0" xfId="0" applyAlignment="1" applyBorder="1" applyFont="1">
      <alignment shrinkToFit="0" vertical="top" wrapText="1"/>
    </xf>
    <xf borderId="1" fillId="0" fontId="4" numFmtId="165" xfId="0" applyAlignment="1" applyBorder="1" applyFont="1" applyNumberFormat="1">
      <alignment shrinkToFit="0" vertical="top" wrapText="1"/>
    </xf>
    <xf borderId="1" fillId="0" fontId="11" numFmtId="165"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94.0"/>
    <col customWidth="1" min="4" max="26" width="8.71"/>
  </cols>
  <sheetData>
    <row r="2">
      <c r="B2" s="1" t="s">
        <v>0</v>
      </c>
    </row>
    <row r="4">
      <c r="B4" s="2" t="s">
        <v>2</v>
      </c>
    </row>
    <row r="5" ht="15.0" customHeight="1">
      <c r="B5" s="4" t="s">
        <v>4</v>
      </c>
    </row>
    <row r="6" ht="15.0" customHeight="1">
      <c r="B6" s="4" t="s">
        <v>5</v>
      </c>
    </row>
    <row r="7" ht="15.0" customHeight="1">
      <c r="B7" s="4" t="s">
        <v>7</v>
      </c>
    </row>
    <row r="9">
      <c r="B9" s="2" t="s">
        <v>8</v>
      </c>
    </row>
    <row r="10" ht="25.5" customHeight="1">
      <c r="B10" s="6" t="s">
        <v>9</v>
      </c>
    </row>
    <row r="11" ht="15.0" customHeight="1">
      <c r="B11" s="4" t="s">
        <v>11</v>
      </c>
    </row>
    <row r="12" ht="25.5" customHeight="1">
      <c r="B12" s="4" t="s">
        <v>12</v>
      </c>
    </row>
    <row r="14">
      <c r="B14" s="2" t="s">
        <v>13</v>
      </c>
    </row>
    <row r="15" ht="15.0" customHeight="1">
      <c r="B15" s="4" t="s">
        <v>14</v>
      </c>
    </row>
    <row r="16" ht="15.0" customHeight="1">
      <c r="B16" s="4" t="s">
        <v>15</v>
      </c>
    </row>
    <row r="17" ht="15.0" customHeight="1">
      <c r="B17" s="4" t="s">
        <v>16</v>
      </c>
    </row>
    <row r="19">
      <c r="B19" s="2" t="s">
        <v>18</v>
      </c>
    </row>
    <row r="20" ht="15.0" customHeight="1">
      <c r="B20" s="4" t="s">
        <v>21</v>
      </c>
    </row>
    <row r="21" ht="25.5" customHeight="1">
      <c r="B21" s="4" t="s">
        <v>22</v>
      </c>
    </row>
    <row r="22" ht="25.5" customHeight="1">
      <c r="B22" s="4" t="s">
        <v>24</v>
      </c>
    </row>
    <row r="23" ht="25.5" customHeight="1">
      <c r="B23" s="4" t="s">
        <v>26</v>
      </c>
    </row>
    <row r="24" ht="25.5" customHeight="1">
      <c r="B24" s="4" t="s">
        <v>29</v>
      </c>
    </row>
    <row r="25" ht="25.5" customHeight="1">
      <c r="B25" s="4" t="s">
        <v>33</v>
      </c>
    </row>
    <row r="26" ht="15.75" customHeight="1"/>
    <row r="27" ht="15.75" customHeight="1">
      <c r="B27" s="2" t="s">
        <v>35</v>
      </c>
    </row>
    <row r="28" ht="15.0" customHeight="1">
      <c r="B28" s="4" t="s">
        <v>39</v>
      </c>
    </row>
    <row r="29" ht="25.5" customHeight="1">
      <c r="B29" s="4" t="s">
        <v>41</v>
      </c>
    </row>
    <row r="30" ht="15.0" customHeight="1">
      <c r="B30" s="4" t="s">
        <v>44</v>
      </c>
    </row>
    <row r="31" ht="15.75" customHeight="1"/>
    <row r="32" ht="15.75" customHeight="1">
      <c r="B32" s="2" t="s">
        <v>46</v>
      </c>
    </row>
    <row r="33" ht="25.5" customHeight="1">
      <c r="B33" s="4" t="s">
        <v>48</v>
      </c>
    </row>
    <row r="34" ht="25.5" customHeight="1">
      <c r="B34" s="4" t="s">
        <v>50</v>
      </c>
    </row>
    <row r="35" ht="15.75" customHeight="1"/>
    <row r="36" ht="15.75" customHeight="1">
      <c r="B36" s="2" t="s">
        <v>52</v>
      </c>
    </row>
    <row r="37" ht="15.0" customHeight="1">
      <c r="B37" s="4" t="s">
        <v>55</v>
      </c>
    </row>
    <row r="38" ht="15.0" customHeight="1">
      <c r="B38" s="4" t="s">
        <v>57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5:C5"/>
    <mergeCell ref="B6:C6"/>
    <mergeCell ref="B7:C7"/>
    <mergeCell ref="B10:C10"/>
    <mergeCell ref="B11:C11"/>
    <mergeCell ref="B12:C12"/>
    <mergeCell ref="B15:C15"/>
    <mergeCell ref="B25:C25"/>
    <mergeCell ref="B28:C28"/>
    <mergeCell ref="B29:C29"/>
    <mergeCell ref="B30:C30"/>
    <mergeCell ref="B33:C33"/>
    <mergeCell ref="B34:C34"/>
    <mergeCell ref="B37:C37"/>
    <mergeCell ref="B38:C38"/>
    <mergeCell ref="B16:C16"/>
    <mergeCell ref="B17:C17"/>
    <mergeCell ref="B20:C20"/>
    <mergeCell ref="B21:C21"/>
    <mergeCell ref="B22:C22"/>
    <mergeCell ref="B23:C23"/>
    <mergeCell ref="B24:C2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2.0"/>
    <col customWidth="1" min="3" max="3" width="24.0"/>
    <col customWidth="1" min="4" max="4" width="18.0"/>
    <col customWidth="1" min="5" max="26" width="8.71"/>
  </cols>
  <sheetData>
    <row r="1">
      <c r="A1" s="7" t="s">
        <v>10</v>
      </c>
      <c r="B1" s="7" t="s">
        <v>17</v>
      </c>
      <c r="C1" s="7" t="s">
        <v>19</v>
      </c>
      <c r="D1" s="7" t="s">
        <v>20</v>
      </c>
    </row>
    <row r="2">
      <c r="A2" s="8" t="s">
        <v>23</v>
      </c>
      <c r="B2" s="9" t="s">
        <v>25</v>
      </c>
      <c r="C2" s="9" t="s">
        <v>27</v>
      </c>
      <c r="D2" s="9" t="s">
        <v>28</v>
      </c>
    </row>
    <row r="3">
      <c r="A3" s="8" t="s">
        <v>30</v>
      </c>
      <c r="B3" s="9" t="s">
        <v>31</v>
      </c>
      <c r="C3" s="9" t="s">
        <v>32</v>
      </c>
      <c r="D3" s="9" t="s">
        <v>34</v>
      </c>
    </row>
    <row r="4">
      <c r="A4" s="9" t="s">
        <v>36</v>
      </c>
      <c r="B4" s="9" t="s">
        <v>37</v>
      </c>
      <c r="C4" s="9" t="s">
        <v>38</v>
      </c>
      <c r="D4" s="9" t="s">
        <v>40</v>
      </c>
    </row>
    <row r="5">
      <c r="A5" s="9" t="s">
        <v>42</v>
      </c>
      <c r="B5" s="9" t="s">
        <v>43</v>
      </c>
    </row>
    <row r="6">
      <c r="A6" s="9" t="s">
        <v>45</v>
      </c>
      <c r="B6" s="9" t="s">
        <v>47</v>
      </c>
    </row>
    <row r="7">
      <c r="A7" s="10" t="s">
        <v>49</v>
      </c>
      <c r="B7" s="9" t="s">
        <v>51</v>
      </c>
    </row>
    <row r="8">
      <c r="A8" s="10" t="s">
        <v>53</v>
      </c>
      <c r="B8" s="9" t="s">
        <v>54</v>
      </c>
    </row>
    <row r="9">
      <c r="B9" s="9" t="s">
        <v>56</v>
      </c>
    </row>
    <row r="10">
      <c r="B10" s="9" t="s">
        <v>58</v>
      </c>
    </row>
    <row r="11">
      <c r="B11" s="9" t="s">
        <v>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8.0" topLeftCell="B19" activePane="bottomRight" state="frozen"/>
      <selection activeCell="B1" sqref="B1" pane="topRight"/>
      <selection activeCell="A19" sqref="A19" pane="bottomLeft"/>
      <selection activeCell="B19" sqref="B19" pane="bottomRight"/>
    </sheetView>
  </sheetViews>
  <sheetFormatPr customHeight="1" defaultColWidth="14.43" defaultRowHeight="15.0"/>
  <cols>
    <col customWidth="1" min="1" max="1" width="5.0"/>
    <col customWidth="1" min="2" max="2" width="28.0"/>
    <col customWidth="1" min="3" max="3" width="11.0"/>
    <col customWidth="1" min="4" max="4" width="9.0"/>
    <col customWidth="1" min="5" max="5" width="46.0"/>
    <col customWidth="1" min="6" max="6" width="30.0"/>
    <col customWidth="1" min="7" max="7" width="15.0"/>
    <col customWidth="1" min="8" max="8" width="12.0"/>
    <col customWidth="1" min="9" max="9" width="13.0"/>
    <col customWidth="1" min="10" max="10" width="18.0"/>
    <col customWidth="1" min="11" max="11" width="24.0"/>
    <col customWidth="1" min="12" max="12" width="34.0"/>
    <col customWidth="1" min="13" max="13" width="8.71"/>
    <col customWidth="1" min="14" max="14" width="34.0"/>
    <col customWidth="1" min="15" max="26" width="8.71"/>
  </cols>
  <sheetData>
    <row r="1">
      <c r="B1" s="1" t="s">
        <v>1</v>
      </c>
      <c r="N1" s="3" t="s">
        <v>3</v>
      </c>
    </row>
    <row r="2">
      <c r="B2" s="5" t="s">
        <v>6</v>
      </c>
      <c r="N2" s="11" t="str">
        <f>IF(LEN(TRIM($C$5))=0,"your name, ","")&amp;IF(LEN(TRIM($C$6))=0,"your email, ","")&amp;IF(LEN(TRIM($C$7))=0,"project, ","")&amp;IF(NOT(ISNUMBER($C$9)),"needed-by date, ","")&amp;IF(LEN(TRIM($C$11))&lt;15,"why this is needed, ","")&amp;IF($B$19="M3 x 10 mm socket head cap screw","delete the example row, ","")</f>
        <v>your name, your email, project, needed-by date, why this is needed, delete the example row, </v>
      </c>
    </row>
    <row r="4">
      <c r="B4" s="12" t="s">
        <v>60</v>
      </c>
      <c r="C4" s="13"/>
      <c r="D4" s="14"/>
      <c r="E4" s="14"/>
      <c r="F4" s="15"/>
      <c r="G4" s="16" t="s">
        <v>61</v>
      </c>
    </row>
    <row r="5">
      <c r="B5" s="12" t="s">
        <v>62</v>
      </c>
      <c r="C5" s="13"/>
      <c r="D5" s="14"/>
      <c r="E5" s="14"/>
      <c r="F5" s="15"/>
    </row>
    <row r="6">
      <c r="B6" s="12" t="s">
        <v>63</v>
      </c>
      <c r="C6" s="13"/>
      <c r="D6" s="14"/>
      <c r="E6" s="14"/>
      <c r="F6" s="15"/>
      <c r="G6" s="16" t="s">
        <v>64</v>
      </c>
    </row>
    <row r="7">
      <c r="B7" s="12" t="s">
        <v>10</v>
      </c>
      <c r="C7" s="13"/>
      <c r="D7" s="14"/>
      <c r="E7" s="14"/>
      <c r="F7" s="15"/>
      <c r="G7" s="10" t="s">
        <v>65</v>
      </c>
    </row>
    <row r="8">
      <c r="B8" s="12" t="s">
        <v>66</v>
      </c>
      <c r="C8" s="17"/>
      <c r="D8" s="14"/>
      <c r="E8" s="14"/>
      <c r="F8" s="15"/>
    </row>
    <row r="9">
      <c r="B9" s="12" t="s">
        <v>67</v>
      </c>
      <c r="C9" s="17"/>
      <c r="D9" s="14"/>
      <c r="E9" s="14"/>
      <c r="F9" s="15"/>
    </row>
    <row r="10">
      <c r="B10" s="12" t="s">
        <v>19</v>
      </c>
      <c r="C10" s="13"/>
      <c r="D10" s="14"/>
      <c r="E10" s="14"/>
      <c r="F10" s="15"/>
    </row>
    <row r="11" ht="45.75" customHeight="1">
      <c r="B11" s="12" t="s">
        <v>68</v>
      </c>
      <c r="C11" s="13"/>
      <c r="D11" s="14"/>
      <c r="E11" s="14"/>
      <c r="F11" s="15"/>
      <c r="G11" s="16" t="s">
        <v>69</v>
      </c>
    </row>
    <row r="13" ht="30.0" customHeight="1">
      <c r="B13" s="18" t="s">
        <v>70</v>
      </c>
      <c r="C13" s="19" t="str">
        <f>IF(LEN($N$2)&gt;0,"NOT READY - missing: "&amp;LEFT(TRIM($N$2),LEN(TRIM($N$2))-1),IF($C$14=0,"NOT READY - no line items entered",IF($C$15&gt;0,"NOT READY - "&amp;$C$15&amp;" line(s) need attention, see the Check column","READY TO SEND")))</f>
        <v>NOT READY - missing: your name, your email, project, needed-by date, why this is needed, delete the example row</v>
      </c>
      <c r="D13" s="14"/>
      <c r="E13" s="14"/>
      <c r="F13" s="15"/>
    </row>
    <row r="14">
      <c r="B14" s="20" t="s">
        <v>71</v>
      </c>
      <c r="C14" s="21">
        <f>SUMPRODUCT((LEN($B$19:$B$58)&gt;0)*1)</f>
        <v>1</v>
      </c>
    </row>
    <row r="15">
      <c r="B15" s="20" t="s">
        <v>72</v>
      </c>
      <c r="C15" s="21">
        <f>SUMPRODUCT((LEN($L$19:$L$58)&gt;0)*($L$19:$L$58&lt;&gt;"OK"))</f>
        <v>0</v>
      </c>
    </row>
    <row r="16">
      <c r="B16" s="20" t="s">
        <v>73</v>
      </c>
      <c r="C16" s="22">
        <f>SUM($I$19:$I$58)</f>
        <v>8</v>
      </c>
    </row>
    <row r="18" ht="33.75" customHeight="1">
      <c r="A18" s="23" t="s">
        <v>74</v>
      </c>
      <c r="B18" s="24" t="s">
        <v>75</v>
      </c>
      <c r="C18" s="24" t="s">
        <v>76</v>
      </c>
      <c r="D18" s="24" t="s">
        <v>17</v>
      </c>
      <c r="E18" s="24" t="s">
        <v>77</v>
      </c>
      <c r="F18" s="24" t="s">
        <v>78</v>
      </c>
      <c r="G18" s="24" t="s">
        <v>79</v>
      </c>
      <c r="H18" s="24" t="s">
        <v>80</v>
      </c>
      <c r="I18" s="23" t="s">
        <v>81</v>
      </c>
      <c r="J18" s="24" t="s">
        <v>82</v>
      </c>
      <c r="K18" s="24" t="s">
        <v>83</v>
      </c>
      <c r="L18" s="23" t="s">
        <v>84</v>
      </c>
    </row>
    <row r="19" ht="30.0" customHeight="1">
      <c r="A19" s="25">
        <f t="shared" ref="A19:A58" si="1">IF(LEN(TRIM($B19))=0,"",SUMPRODUCT((LEN($B$19:$B19)&gt;0)*1))</f>
        <v>1</v>
      </c>
      <c r="B19" s="26" t="s">
        <v>85</v>
      </c>
      <c r="C19" s="26">
        <v>200.0</v>
      </c>
      <c r="D19" s="26" t="s">
        <v>25</v>
      </c>
      <c r="E19" s="26" t="s">
        <v>86</v>
      </c>
      <c r="F19" s="26" t="s">
        <v>87</v>
      </c>
      <c r="G19" s="26" t="s">
        <v>28</v>
      </c>
      <c r="H19" s="27">
        <v>0.04</v>
      </c>
      <c r="I19" s="28">
        <f t="shared" ref="I19:I58" si="2">IF(AND(ISNUMBER($C19),ISNUMBER($H19)),$C19*$H19,"")</f>
        <v>8</v>
      </c>
      <c r="J19" s="26" t="s">
        <v>88</v>
      </c>
      <c r="K19" s="26" t="s">
        <v>89</v>
      </c>
      <c r="L19" s="25" t="str">
        <f t="shared" ref="L19:L58" si="3">IF(NOT(OR(LEN(TRIM($B19))&gt;0,ISNUMBER($C19),LEN(TRIM($E19))&gt;0)),"",IF(IF(AND(LEN(TRIM($B19))&gt;0,NOT(ISNUMBER($C19))),"Qty missing. ","")&amp;IF(AND(LEN(TRIM($B19))&gt;0,ISNUMBER($C19),$C19&lt;=0),"Qty must be above zero. ","")&amp;IF(AND(LEN(TRIM($B19))&gt;0,LEN(TRIM($D19))=0),"Unit missing. ","")&amp;IF(AND(LEN(TRIM($B19))&gt;0,LEN(TRIM($E19))&lt;25),"Spec too thin. ","")&amp;IF(AND(LEN(TRIM($B19))&gt;0,LEN(TRIM($G19))=0),"Air-freight answer missing. ","")&amp;IF(AND(LEN(TRIM($B19))&gt;0,NOT(ISNUMBER($H19))),"Est. price missing. ","")&amp;IF(AND(LEN(TRIM($B19))&gt;0,COUNTIF($B$19:$B$58,$B19)&gt;1),"Duplicate item in this request. ","")&amp;IF(AND(NOT(LEN(TRIM($B19))&gt;0),OR(ISNUMBER($C19),LEN(TRIM($E19))&gt;0)),"Item name missing. ","")="","OK",TRIM(IF(AND(LEN(TRIM($B19))&gt;0,NOT(ISNUMBER($C19))),"Qty missing. ","")&amp;IF(AND(LEN(TRIM($B19))&gt;0,ISNUMBER($C19),$C19&lt;=0),"Qty must be above zero. ","")&amp;IF(AND(LEN(TRIM($B19))&gt;0,LEN(TRIM($D19))=0),"Unit missing. ","")&amp;IF(AND(LEN(TRIM($B19))&gt;0,LEN(TRIM($E19))&lt;25),"Spec too thin. ","")&amp;IF(AND(LEN(TRIM($B19))&gt;0,LEN(TRIM($G19))=0),"Air-freight answer missing. ","")&amp;IF(AND(LEN(TRIM($B19))&gt;0,NOT(ISNUMBER($H19))),"Est. price missing. ","")&amp;IF(AND(LEN(TRIM($B19))&gt;0,COUNTIF($B$19:$B$58,$B19)&gt;1),"Duplicate item in this request. ","")&amp;IF(AND(NOT(LEN(TRIM($B19))&gt;0),OR(ISNUMBER($C19),LEN(TRIM($E19))&gt;0)),"Item name missing. ",""))))</f>
        <v>OK</v>
      </c>
    </row>
    <row r="20" ht="30.0" customHeight="1">
      <c r="A20" s="29" t="str">
        <f t="shared" si="1"/>
        <v/>
      </c>
      <c r="B20" s="30"/>
      <c r="C20" s="30"/>
      <c r="D20" s="30"/>
      <c r="E20" s="30"/>
      <c r="F20" s="30"/>
      <c r="G20" s="30"/>
      <c r="H20" s="31"/>
      <c r="I20" s="32" t="str">
        <f t="shared" si="2"/>
        <v/>
      </c>
      <c r="J20" s="30"/>
      <c r="K20" s="30"/>
      <c r="L20" s="29" t="str">
        <f t="shared" si="3"/>
        <v/>
      </c>
    </row>
    <row r="21" ht="30.0" customHeight="1">
      <c r="A21" s="29" t="str">
        <f t="shared" si="1"/>
        <v/>
      </c>
      <c r="B21" s="30"/>
      <c r="C21" s="30"/>
      <c r="D21" s="30"/>
      <c r="E21" s="30"/>
      <c r="F21" s="30"/>
      <c r="G21" s="30"/>
      <c r="H21" s="31"/>
      <c r="I21" s="32" t="str">
        <f t="shared" si="2"/>
        <v/>
      </c>
      <c r="J21" s="30"/>
      <c r="K21" s="30"/>
      <c r="L21" s="29" t="str">
        <f t="shared" si="3"/>
        <v/>
      </c>
    </row>
    <row r="22" ht="30.0" customHeight="1">
      <c r="A22" s="29" t="str">
        <f t="shared" si="1"/>
        <v/>
      </c>
      <c r="B22" s="30"/>
      <c r="C22" s="30"/>
      <c r="D22" s="30"/>
      <c r="E22" s="30"/>
      <c r="F22" s="30"/>
      <c r="G22" s="30"/>
      <c r="H22" s="31"/>
      <c r="I22" s="32" t="str">
        <f t="shared" si="2"/>
        <v/>
      </c>
      <c r="J22" s="30"/>
      <c r="K22" s="30"/>
      <c r="L22" s="29" t="str">
        <f t="shared" si="3"/>
        <v/>
      </c>
    </row>
    <row r="23" ht="30.0" customHeight="1">
      <c r="A23" s="29" t="str">
        <f t="shared" si="1"/>
        <v/>
      </c>
      <c r="B23" s="30"/>
      <c r="C23" s="30"/>
      <c r="D23" s="30"/>
      <c r="E23" s="30"/>
      <c r="F23" s="30"/>
      <c r="G23" s="30"/>
      <c r="H23" s="31"/>
      <c r="I23" s="32" t="str">
        <f t="shared" si="2"/>
        <v/>
      </c>
      <c r="J23" s="30"/>
      <c r="K23" s="30"/>
      <c r="L23" s="29" t="str">
        <f t="shared" si="3"/>
        <v/>
      </c>
    </row>
    <row r="24" ht="30.0" customHeight="1">
      <c r="A24" s="29" t="str">
        <f t="shared" si="1"/>
        <v/>
      </c>
      <c r="B24" s="30"/>
      <c r="C24" s="30"/>
      <c r="D24" s="30"/>
      <c r="E24" s="30"/>
      <c r="F24" s="30"/>
      <c r="G24" s="30"/>
      <c r="H24" s="31"/>
      <c r="I24" s="32" t="str">
        <f t="shared" si="2"/>
        <v/>
      </c>
      <c r="J24" s="30"/>
      <c r="K24" s="30"/>
      <c r="L24" s="29" t="str">
        <f t="shared" si="3"/>
        <v/>
      </c>
    </row>
    <row r="25" ht="30.0" customHeight="1">
      <c r="A25" s="29" t="str">
        <f t="shared" si="1"/>
        <v/>
      </c>
      <c r="B25" s="30"/>
      <c r="C25" s="30"/>
      <c r="D25" s="30"/>
      <c r="E25" s="30"/>
      <c r="F25" s="30"/>
      <c r="G25" s="30"/>
      <c r="H25" s="31"/>
      <c r="I25" s="32" t="str">
        <f t="shared" si="2"/>
        <v/>
      </c>
      <c r="J25" s="30"/>
      <c r="K25" s="30"/>
      <c r="L25" s="29" t="str">
        <f t="shared" si="3"/>
        <v/>
      </c>
    </row>
    <row r="26" ht="30.0" customHeight="1">
      <c r="A26" s="29" t="str">
        <f t="shared" si="1"/>
        <v/>
      </c>
      <c r="B26" s="30"/>
      <c r="C26" s="30"/>
      <c r="D26" s="30"/>
      <c r="E26" s="30"/>
      <c r="F26" s="30"/>
      <c r="G26" s="30"/>
      <c r="H26" s="31"/>
      <c r="I26" s="32" t="str">
        <f t="shared" si="2"/>
        <v/>
      </c>
      <c r="J26" s="30"/>
      <c r="K26" s="30"/>
      <c r="L26" s="29" t="str">
        <f t="shared" si="3"/>
        <v/>
      </c>
    </row>
    <row r="27" ht="30.0" customHeight="1">
      <c r="A27" s="29" t="str">
        <f t="shared" si="1"/>
        <v/>
      </c>
      <c r="B27" s="30"/>
      <c r="C27" s="30"/>
      <c r="D27" s="30"/>
      <c r="E27" s="30"/>
      <c r="F27" s="30"/>
      <c r="G27" s="30"/>
      <c r="H27" s="31"/>
      <c r="I27" s="32" t="str">
        <f t="shared" si="2"/>
        <v/>
      </c>
      <c r="J27" s="30"/>
      <c r="K27" s="30"/>
      <c r="L27" s="29" t="str">
        <f t="shared" si="3"/>
        <v/>
      </c>
    </row>
    <row r="28" ht="30.0" customHeight="1">
      <c r="A28" s="29" t="str">
        <f t="shared" si="1"/>
        <v/>
      </c>
      <c r="B28" s="30"/>
      <c r="C28" s="30"/>
      <c r="D28" s="30"/>
      <c r="E28" s="30"/>
      <c r="F28" s="30"/>
      <c r="G28" s="30"/>
      <c r="H28" s="31"/>
      <c r="I28" s="32" t="str">
        <f t="shared" si="2"/>
        <v/>
      </c>
      <c r="J28" s="30"/>
      <c r="K28" s="30"/>
      <c r="L28" s="29" t="str">
        <f t="shared" si="3"/>
        <v/>
      </c>
    </row>
    <row r="29" ht="30.0" customHeight="1">
      <c r="A29" s="29" t="str">
        <f t="shared" si="1"/>
        <v/>
      </c>
      <c r="B29" s="30"/>
      <c r="C29" s="30"/>
      <c r="D29" s="30"/>
      <c r="E29" s="30"/>
      <c r="F29" s="30"/>
      <c r="G29" s="30"/>
      <c r="H29" s="31"/>
      <c r="I29" s="32" t="str">
        <f t="shared" si="2"/>
        <v/>
      </c>
      <c r="J29" s="30"/>
      <c r="K29" s="30"/>
      <c r="L29" s="29" t="str">
        <f t="shared" si="3"/>
        <v/>
      </c>
    </row>
    <row r="30" ht="30.0" customHeight="1">
      <c r="A30" s="29" t="str">
        <f t="shared" si="1"/>
        <v/>
      </c>
      <c r="B30" s="30"/>
      <c r="C30" s="30"/>
      <c r="D30" s="30"/>
      <c r="E30" s="30"/>
      <c r="F30" s="30"/>
      <c r="G30" s="30"/>
      <c r="H30" s="31"/>
      <c r="I30" s="32" t="str">
        <f t="shared" si="2"/>
        <v/>
      </c>
      <c r="J30" s="30"/>
      <c r="K30" s="30"/>
      <c r="L30" s="29" t="str">
        <f t="shared" si="3"/>
        <v/>
      </c>
    </row>
    <row r="31" ht="30.0" customHeight="1">
      <c r="A31" s="29" t="str">
        <f t="shared" si="1"/>
        <v/>
      </c>
      <c r="B31" s="30"/>
      <c r="C31" s="30"/>
      <c r="D31" s="30"/>
      <c r="E31" s="30"/>
      <c r="F31" s="30"/>
      <c r="G31" s="30"/>
      <c r="H31" s="31"/>
      <c r="I31" s="32" t="str">
        <f t="shared" si="2"/>
        <v/>
      </c>
      <c r="J31" s="30"/>
      <c r="K31" s="30"/>
      <c r="L31" s="29" t="str">
        <f t="shared" si="3"/>
        <v/>
      </c>
    </row>
    <row r="32" ht="30.0" customHeight="1">
      <c r="A32" s="29" t="str">
        <f t="shared" si="1"/>
        <v/>
      </c>
      <c r="B32" s="30"/>
      <c r="C32" s="30"/>
      <c r="D32" s="30"/>
      <c r="E32" s="30"/>
      <c r="F32" s="30"/>
      <c r="G32" s="30"/>
      <c r="H32" s="31"/>
      <c r="I32" s="32" t="str">
        <f t="shared" si="2"/>
        <v/>
      </c>
      <c r="J32" s="30"/>
      <c r="K32" s="30"/>
      <c r="L32" s="29" t="str">
        <f t="shared" si="3"/>
        <v/>
      </c>
    </row>
    <row r="33" ht="30.0" customHeight="1">
      <c r="A33" s="29" t="str">
        <f t="shared" si="1"/>
        <v/>
      </c>
      <c r="B33" s="30"/>
      <c r="C33" s="30"/>
      <c r="D33" s="30"/>
      <c r="E33" s="30"/>
      <c r="F33" s="30"/>
      <c r="G33" s="30"/>
      <c r="H33" s="31"/>
      <c r="I33" s="32" t="str">
        <f t="shared" si="2"/>
        <v/>
      </c>
      <c r="J33" s="30"/>
      <c r="K33" s="30"/>
      <c r="L33" s="29" t="str">
        <f t="shared" si="3"/>
        <v/>
      </c>
    </row>
    <row r="34" ht="30.0" customHeight="1">
      <c r="A34" s="29" t="str">
        <f t="shared" si="1"/>
        <v/>
      </c>
      <c r="B34" s="30"/>
      <c r="C34" s="30"/>
      <c r="D34" s="30"/>
      <c r="E34" s="30"/>
      <c r="F34" s="30"/>
      <c r="G34" s="30"/>
      <c r="H34" s="31"/>
      <c r="I34" s="32" t="str">
        <f t="shared" si="2"/>
        <v/>
      </c>
      <c r="J34" s="30"/>
      <c r="K34" s="30"/>
      <c r="L34" s="29" t="str">
        <f t="shared" si="3"/>
        <v/>
      </c>
    </row>
    <row r="35" ht="30.0" customHeight="1">
      <c r="A35" s="29" t="str">
        <f t="shared" si="1"/>
        <v/>
      </c>
      <c r="B35" s="30"/>
      <c r="C35" s="30"/>
      <c r="D35" s="30"/>
      <c r="E35" s="30"/>
      <c r="F35" s="30"/>
      <c r="G35" s="30"/>
      <c r="H35" s="31"/>
      <c r="I35" s="32" t="str">
        <f t="shared" si="2"/>
        <v/>
      </c>
      <c r="J35" s="30"/>
      <c r="K35" s="30"/>
      <c r="L35" s="29" t="str">
        <f t="shared" si="3"/>
        <v/>
      </c>
    </row>
    <row r="36" ht="30.0" customHeight="1">
      <c r="A36" s="29" t="str">
        <f t="shared" si="1"/>
        <v/>
      </c>
      <c r="B36" s="30"/>
      <c r="C36" s="30"/>
      <c r="D36" s="30"/>
      <c r="E36" s="30"/>
      <c r="F36" s="30"/>
      <c r="G36" s="30"/>
      <c r="H36" s="31"/>
      <c r="I36" s="32" t="str">
        <f t="shared" si="2"/>
        <v/>
      </c>
      <c r="J36" s="30"/>
      <c r="K36" s="30"/>
      <c r="L36" s="29" t="str">
        <f t="shared" si="3"/>
        <v/>
      </c>
    </row>
    <row r="37" ht="30.0" customHeight="1">
      <c r="A37" s="29" t="str">
        <f t="shared" si="1"/>
        <v/>
      </c>
      <c r="B37" s="30"/>
      <c r="C37" s="30"/>
      <c r="D37" s="30"/>
      <c r="E37" s="30"/>
      <c r="F37" s="30"/>
      <c r="G37" s="30"/>
      <c r="H37" s="31"/>
      <c r="I37" s="32" t="str">
        <f t="shared" si="2"/>
        <v/>
      </c>
      <c r="J37" s="30"/>
      <c r="K37" s="30"/>
      <c r="L37" s="29" t="str">
        <f t="shared" si="3"/>
        <v/>
      </c>
    </row>
    <row r="38" ht="30.0" customHeight="1">
      <c r="A38" s="29" t="str">
        <f t="shared" si="1"/>
        <v/>
      </c>
      <c r="B38" s="30"/>
      <c r="C38" s="30"/>
      <c r="D38" s="30"/>
      <c r="E38" s="30"/>
      <c r="F38" s="30"/>
      <c r="G38" s="30"/>
      <c r="H38" s="31"/>
      <c r="I38" s="32" t="str">
        <f t="shared" si="2"/>
        <v/>
      </c>
      <c r="J38" s="30"/>
      <c r="K38" s="30"/>
      <c r="L38" s="29" t="str">
        <f t="shared" si="3"/>
        <v/>
      </c>
    </row>
    <row r="39" ht="30.0" customHeight="1">
      <c r="A39" s="29" t="str">
        <f t="shared" si="1"/>
        <v/>
      </c>
      <c r="B39" s="30"/>
      <c r="C39" s="30"/>
      <c r="D39" s="30"/>
      <c r="E39" s="30"/>
      <c r="F39" s="30"/>
      <c r="G39" s="30"/>
      <c r="H39" s="31"/>
      <c r="I39" s="32" t="str">
        <f t="shared" si="2"/>
        <v/>
      </c>
      <c r="J39" s="30"/>
      <c r="K39" s="30"/>
      <c r="L39" s="29" t="str">
        <f t="shared" si="3"/>
        <v/>
      </c>
    </row>
    <row r="40" ht="30.0" customHeight="1">
      <c r="A40" s="29" t="str">
        <f t="shared" si="1"/>
        <v/>
      </c>
      <c r="B40" s="30"/>
      <c r="C40" s="30"/>
      <c r="D40" s="30"/>
      <c r="E40" s="30"/>
      <c r="F40" s="30"/>
      <c r="G40" s="30"/>
      <c r="H40" s="31"/>
      <c r="I40" s="32" t="str">
        <f t="shared" si="2"/>
        <v/>
      </c>
      <c r="J40" s="30"/>
      <c r="K40" s="30"/>
      <c r="L40" s="29" t="str">
        <f t="shared" si="3"/>
        <v/>
      </c>
    </row>
    <row r="41" ht="30.0" customHeight="1">
      <c r="A41" s="29" t="str">
        <f t="shared" si="1"/>
        <v/>
      </c>
      <c r="B41" s="30"/>
      <c r="C41" s="30"/>
      <c r="D41" s="30"/>
      <c r="E41" s="30"/>
      <c r="F41" s="30"/>
      <c r="G41" s="30"/>
      <c r="H41" s="31"/>
      <c r="I41" s="32" t="str">
        <f t="shared" si="2"/>
        <v/>
      </c>
      <c r="J41" s="30"/>
      <c r="K41" s="30"/>
      <c r="L41" s="29" t="str">
        <f t="shared" si="3"/>
        <v/>
      </c>
    </row>
    <row r="42" ht="30.0" customHeight="1">
      <c r="A42" s="29" t="str">
        <f t="shared" si="1"/>
        <v/>
      </c>
      <c r="B42" s="30"/>
      <c r="C42" s="30"/>
      <c r="D42" s="30"/>
      <c r="E42" s="30"/>
      <c r="F42" s="30"/>
      <c r="G42" s="30"/>
      <c r="H42" s="31"/>
      <c r="I42" s="32" t="str">
        <f t="shared" si="2"/>
        <v/>
      </c>
      <c r="J42" s="30"/>
      <c r="K42" s="30"/>
      <c r="L42" s="29" t="str">
        <f t="shared" si="3"/>
        <v/>
      </c>
    </row>
    <row r="43" ht="30.0" customHeight="1">
      <c r="A43" s="29" t="str">
        <f t="shared" si="1"/>
        <v/>
      </c>
      <c r="B43" s="30"/>
      <c r="C43" s="30"/>
      <c r="D43" s="30"/>
      <c r="E43" s="30"/>
      <c r="F43" s="30"/>
      <c r="G43" s="30"/>
      <c r="H43" s="31"/>
      <c r="I43" s="32" t="str">
        <f t="shared" si="2"/>
        <v/>
      </c>
      <c r="J43" s="30"/>
      <c r="K43" s="30"/>
      <c r="L43" s="29" t="str">
        <f t="shared" si="3"/>
        <v/>
      </c>
    </row>
    <row r="44" ht="30.0" customHeight="1">
      <c r="A44" s="29" t="str">
        <f t="shared" si="1"/>
        <v/>
      </c>
      <c r="B44" s="30"/>
      <c r="C44" s="30"/>
      <c r="D44" s="30"/>
      <c r="E44" s="30"/>
      <c r="F44" s="30"/>
      <c r="G44" s="30"/>
      <c r="H44" s="31"/>
      <c r="I44" s="32" t="str">
        <f t="shared" si="2"/>
        <v/>
      </c>
      <c r="J44" s="30"/>
      <c r="K44" s="30"/>
      <c r="L44" s="29" t="str">
        <f t="shared" si="3"/>
        <v/>
      </c>
    </row>
    <row r="45" ht="30.0" customHeight="1">
      <c r="A45" s="29" t="str">
        <f t="shared" si="1"/>
        <v/>
      </c>
      <c r="B45" s="30"/>
      <c r="C45" s="30"/>
      <c r="D45" s="30"/>
      <c r="E45" s="30"/>
      <c r="F45" s="30"/>
      <c r="G45" s="30"/>
      <c r="H45" s="31"/>
      <c r="I45" s="32" t="str">
        <f t="shared" si="2"/>
        <v/>
      </c>
      <c r="J45" s="30"/>
      <c r="K45" s="30"/>
      <c r="L45" s="29" t="str">
        <f t="shared" si="3"/>
        <v/>
      </c>
    </row>
    <row r="46" ht="30.0" customHeight="1">
      <c r="A46" s="29" t="str">
        <f t="shared" si="1"/>
        <v/>
      </c>
      <c r="B46" s="30"/>
      <c r="C46" s="30"/>
      <c r="D46" s="30"/>
      <c r="E46" s="30"/>
      <c r="F46" s="30"/>
      <c r="G46" s="30"/>
      <c r="H46" s="31"/>
      <c r="I46" s="32" t="str">
        <f t="shared" si="2"/>
        <v/>
      </c>
      <c r="J46" s="30"/>
      <c r="K46" s="30"/>
      <c r="L46" s="29" t="str">
        <f t="shared" si="3"/>
        <v/>
      </c>
    </row>
    <row r="47" ht="30.0" customHeight="1">
      <c r="A47" s="29" t="str">
        <f t="shared" si="1"/>
        <v/>
      </c>
      <c r="B47" s="30"/>
      <c r="C47" s="30"/>
      <c r="D47" s="30"/>
      <c r="E47" s="30"/>
      <c r="F47" s="30"/>
      <c r="G47" s="30"/>
      <c r="H47" s="31"/>
      <c r="I47" s="32" t="str">
        <f t="shared" si="2"/>
        <v/>
      </c>
      <c r="J47" s="30"/>
      <c r="K47" s="30"/>
      <c r="L47" s="29" t="str">
        <f t="shared" si="3"/>
        <v/>
      </c>
    </row>
    <row r="48" ht="30.0" customHeight="1">
      <c r="A48" s="29" t="str">
        <f t="shared" si="1"/>
        <v/>
      </c>
      <c r="B48" s="30"/>
      <c r="C48" s="30"/>
      <c r="D48" s="30"/>
      <c r="E48" s="30"/>
      <c r="F48" s="30"/>
      <c r="G48" s="30"/>
      <c r="H48" s="31"/>
      <c r="I48" s="32" t="str">
        <f t="shared" si="2"/>
        <v/>
      </c>
      <c r="J48" s="30"/>
      <c r="K48" s="30"/>
      <c r="L48" s="29" t="str">
        <f t="shared" si="3"/>
        <v/>
      </c>
    </row>
    <row r="49" ht="30.0" customHeight="1">
      <c r="A49" s="29" t="str">
        <f t="shared" si="1"/>
        <v/>
      </c>
      <c r="B49" s="30"/>
      <c r="C49" s="30"/>
      <c r="D49" s="30"/>
      <c r="E49" s="30"/>
      <c r="F49" s="30"/>
      <c r="G49" s="30"/>
      <c r="H49" s="31"/>
      <c r="I49" s="32" t="str">
        <f t="shared" si="2"/>
        <v/>
      </c>
      <c r="J49" s="30"/>
      <c r="K49" s="30"/>
      <c r="L49" s="29" t="str">
        <f t="shared" si="3"/>
        <v/>
      </c>
    </row>
    <row r="50" ht="30.0" customHeight="1">
      <c r="A50" s="29" t="str">
        <f t="shared" si="1"/>
        <v/>
      </c>
      <c r="B50" s="30"/>
      <c r="C50" s="30"/>
      <c r="D50" s="30"/>
      <c r="E50" s="30"/>
      <c r="F50" s="30"/>
      <c r="G50" s="30"/>
      <c r="H50" s="31"/>
      <c r="I50" s="32" t="str">
        <f t="shared" si="2"/>
        <v/>
      </c>
      <c r="J50" s="30"/>
      <c r="K50" s="30"/>
      <c r="L50" s="29" t="str">
        <f t="shared" si="3"/>
        <v/>
      </c>
    </row>
    <row r="51" ht="30.0" customHeight="1">
      <c r="A51" s="29" t="str">
        <f t="shared" si="1"/>
        <v/>
      </c>
      <c r="B51" s="30"/>
      <c r="C51" s="30"/>
      <c r="D51" s="30"/>
      <c r="E51" s="30"/>
      <c r="F51" s="30"/>
      <c r="G51" s="30"/>
      <c r="H51" s="31"/>
      <c r="I51" s="32" t="str">
        <f t="shared" si="2"/>
        <v/>
      </c>
      <c r="J51" s="30"/>
      <c r="K51" s="30"/>
      <c r="L51" s="29" t="str">
        <f t="shared" si="3"/>
        <v/>
      </c>
    </row>
    <row r="52" ht="30.0" customHeight="1">
      <c r="A52" s="29" t="str">
        <f t="shared" si="1"/>
        <v/>
      </c>
      <c r="B52" s="30"/>
      <c r="C52" s="30"/>
      <c r="D52" s="30"/>
      <c r="E52" s="30"/>
      <c r="F52" s="30"/>
      <c r="G52" s="30"/>
      <c r="H52" s="31"/>
      <c r="I52" s="32" t="str">
        <f t="shared" si="2"/>
        <v/>
      </c>
      <c r="J52" s="30"/>
      <c r="K52" s="30"/>
      <c r="L52" s="29" t="str">
        <f t="shared" si="3"/>
        <v/>
      </c>
    </row>
    <row r="53" ht="30.0" customHeight="1">
      <c r="A53" s="29" t="str">
        <f t="shared" si="1"/>
        <v/>
      </c>
      <c r="B53" s="30"/>
      <c r="C53" s="30"/>
      <c r="D53" s="30"/>
      <c r="E53" s="30"/>
      <c r="F53" s="30"/>
      <c r="G53" s="30"/>
      <c r="H53" s="31"/>
      <c r="I53" s="32" t="str">
        <f t="shared" si="2"/>
        <v/>
      </c>
      <c r="J53" s="30"/>
      <c r="K53" s="30"/>
      <c r="L53" s="29" t="str">
        <f t="shared" si="3"/>
        <v/>
      </c>
    </row>
    <row r="54" ht="30.0" customHeight="1">
      <c r="A54" s="29" t="str">
        <f t="shared" si="1"/>
        <v/>
      </c>
      <c r="B54" s="30"/>
      <c r="C54" s="30"/>
      <c r="D54" s="30"/>
      <c r="E54" s="30"/>
      <c r="F54" s="30"/>
      <c r="G54" s="30"/>
      <c r="H54" s="31"/>
      <c r="I54" s="32" t="str">
        <f t="shared" si="2"/>
        <v/>
      </c>
      <c r="J54" s="30"/>
      <c r="K54" s="30"/>
      <c r="L54" s="29" t="str">
        <f t="shared" si="3"/>
        <v/>
      </c>
    </row>
    <row r="55" ht="30.0" customHeight="1">
      <c r="A55" s="29" t="str">
        <f t="shared" si="1"/>
        <v/>
      </c>
      <c r="B55" s="30"/>
      <c r="C55" s="30"/>
      <c r="D55" s="30"/>
      <c r="E55" s="30"/>
      <c r="F55" s="30"/>
      <c r="G55" s="30"/>
      <c r="H55" s="31"/>
      <c r="I55" s="32" t="str">
        <f t="shared" si="2"/>
        <v/>
      </c>
      <c r="J55" s="30"/>
      <c r="K55" s="30"/>
      <c r="L55" s="29" t="str">
        <f t="shared" si="3"/>
        <v/>
      </c>
    </row>
    <row r="56" ht="30.0" customHeight="1">
      <c r="A56" s="29" t="str">
        <f t="shared" si="1"/>
        <v/>
      </c>
      <c r="B56" s="30"/>
      <c r="C56" s="30"/>
      <c r="D56" s="30"/>
      <c r="E56" s="30"/>
      <c r="F56" s="30"/>
      <c r="G56" s="30"/>
      <c r="H56" s="31"/>
      <c r="I56" s="32" t="str">
        <f t="shared" si="2"/>
        <v/>
      </c>
      <c r="J56" s="30"/>
      <c r="K56" s="30"/>
      <c r="L56" s="29" t="str">
        <f t="shared" si="3"/>
        <v/>
      </c>
    </row>
    <row r="57" ht="30.0" customHeight="1">
      <c r="A57" s="29" t="str">
        <f t="shared" si="1"/>
        <v/>
      </c>
      <c r="B57" s="30"/>
      <c r="C57" s="30"/>
      <c r="D57" s="30"/>
      <c r="E57" s="30"/>
      <c r="F57" s="30"/>
      <c r="G57" s="30"/>
      <c r="H57" s="31"/>
      <c r="I57" s="32" t="str">
        <f t="shared" si="2"/>
        <v/>
      </c>
      <c r="J57" s="30"/>
      <c r="K57" s="30"/>
      <c r="L57" s="29" t="str">
        <f t="shared" si="3"/>
        <v/>
      </c>
    </row>
    <row r="58" ht="30.0" customHeight="1">
      <c r="A58" s="29" t="str">
        <f t="shared" si="1"/>
        <v/>
      </c>
      <c r="B58" s="30"/>
      <c r="C58" s="30"/>
      <c r="D58" s="30"/>
      <c r="E58" s="30"/>
      <c r="F58" s="30"/>
      <c r="G58" s="30"/>
      <c r="H58" s="31"/>
      <c r="I58" s="32" t="str">
        <f t="shared" si="2"/>
        <v/>
      </c>
      <c r="J58" s="30"/>
      <c r="K58" s="30"/>
      <c r="L58" s="29" t="str">
        <f t="shared" si="3"/>
        <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1:F11"/>
    <mergeCell ref="C13:F13"/>
    <mergeCell ref="C4:F4"/>
    <mergeCell ref="C5:F5"/>
    <mergeCell ref="C6:F6"/>
    <mergeCell ref="C7:F7"/>
    <mergeCell ref="C8:F8"/>
    <mergeCell ref="C9:F9"/>
    <mergeCell ref="C10:F10"/>
  </mergeCells>
  <dataValidations>
    <dataValidation type="list" allowBlank="1" sqref="C10">
      <formula1>Lists!$C$2:$C$4</formula1>
    </dataValidation>
    <dataValidation type="list" allowBlank="1" sqref="G19:G58">
      <formula1>Lists!$D$2:$D$4</formula1>
    </dataValidation>
    <dataValidation type="list" allowBlank="1" sqref="C7">
      <formula1>Lists!$A$2:$A$10</formula1>
    </dataValidation>
    <dataValidation type="list" allowBlank="1" sqref="D19:D58">
      <formula1>Lists!$B$2:$B$11</formula1>
    </dataValidation>
  </dataValidations>
  <printOptions/>
  <pageMargins bottom="1.0" footer="0.0" header="0.0" left="0.75" right="0.75" top="1.0"/>
  <pageSetup paperSize="9" orientation="portrait"/>
  <drawing r:id="rId2"/>
  <legacyDrawing r:id="rId3"/>
</worksheet>
</file>